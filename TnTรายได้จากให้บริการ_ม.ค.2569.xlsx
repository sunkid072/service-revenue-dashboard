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<sst xmlns="http://schemas.openxmlformats.org/spreadsheetml/2006/main" count="92" uniqueCount="44">
  <si>
    <t>410201 - P00001 (รายได้จากการให้บริการ - ค่าบริการฟอกเลือดด้วยเครื่องไตเทียม (สปสช.))</t>
  </si>
  <si>
    <t xml:space="preserve">ชื่อรายงาน : </t>
  </si>
  <si>
    <t>รายงานบัญชีแยกประเภท</t>
  </si>
  <si>
    <t>ลำดับที่</t>
  </si>
  <si>
    <t>เลขที่รายวัน</t>
  </si>
  <si>
    <t>วันที่ออก</t>
  </si>
  <si>
    <t>อ้างอิง</t>
  </si>
  <si>
    <t>ผู้ติดต่อ</t>
  </si>
  <si>
    <t>คำอธิบาย</t>
  </si>
  <si>
    <t>เดบิต</t>
  </si>
  <si>
    <t>เครดิต</t>
  </si>
  <si>
    <t>คงเหลือ</t>
  </si>
  <si>
    <t xml:space="preserve">ผู้ออกรายงาน : </t>
  </si>
  <si>
    <t>วนสณฑ์ หงส์เจริญ</t>
  </si>
  <si>
    <t>SV-202602005</t>
  </si>
  <si>
    <t>31/01/2026</t>
  </si>
  <si>
    <t>IV-20260200011</t>
  </si>
  <si>
    <t>C00054 - โรงพยาบาลค่ายพิชัยดาบหัก</t>
  </si>
  <si>
    <t>รายได้จากการให้บริการ - P00001 - งวด 1-31 ม.ค.69 (สปสช.) - โรงพยาบาลค่ายพิชัยดาบหัก - #IV-20260200011</t>
  </si>
  <si>
    <t xml:space="preserve">ชื่อกิจการ : </t>
  </si>
  <si>
    <t>บริษัท ทีเอ็นทีไตเทียม จำกัด</t>
  </si>
  <si>
    <t>รวม</t>
  </si>
  <si>
    <t xml:space="preserve">วันที่ออกรายงาน : </t>
  </si>
  <si>
    <t>20260220 14:03:15</t>
  </si>
  <si>
    <t xml:space="preserve">ช่วงวันที่ : </t>
  </si>
  <si>
    <t>01/01/2026-31/01/2026</t>
  </si>
  <si>
    <t>410201 - P00002 (รายได้จากการให้บริการ - ค่าบริการฟอกเลือดด้วยเครื่องไตเทียม (ราชการเบิกได้))</t>
  </si>
  <si>
    <t xml:space="preserve">เลขที่บัญชี : </t>
  </si>
  <si>
    <t>410201-P00001 , 410201-P00002 , 410201-P00007 , 410201-P00009 , 410201-P00010</t>
  </si>
  <si>
    <t>SV-202602004</t>
  </si>
  <si>
    <t>IV-20260200012</t>
  </si>
  <si>
    <t>รายได้จากการให้บริการ - P00002 - งวด 1-31 ม.ค.69 (ราชการเบิกได้) - โรงพยาบาลค่ายพิชัยดาบหัก - #IV-20260200012</t>
  </si>
  <si>
    <t>410201 - P00007 (รายได้จากการให้บริการ - ค่าบริการฟอกเลือดด้วยเครื่องไตเทียม (เงินสด/รัฐวิสาหกิจ)2000)</t>
  </si>
  <si>
    <t>SV-202602003</t>
  </si>
  <si>
    <t>IV-20260200013</t>
  </si>
  <si>
    <t>รายได้จากการให้บริการ - P00007 - งวด 1-31 ม.ค.69 (รัฐวิสาหกิจ) - โรงพยาบาลค่ายพิชัยดาบหัก - #IV-20260200013</t>
  </si>
  <si>
    <t>410201 - P00009 (รายได้จากการให้บริการ - ค่าบริการฟอกเลือดด้วยเครื่องไตเทียม (อปท.))</t>
  </si>
  <si>
    <t>SV-202602002</t>
  </si>
  <si>
    <t>IV-20260200014</t>
  </si>
  <si>
    <t>รายได้จากการให้บริการ - P00009 - งวด 1-31 ม.ค.69 (อปท.) - โรงพยาบาลค่ายพิชัยดาบหัก - #IV-20260200014</t>
  </si>
  <si>
    <t>410201 - P00010 (รายได้จากการให้บริการ - ค่าบริการฟอกเลือดด้วยเครื่องไตเทียม (ประกันสังคม))</t>
  </si>
  <si>
    <t>SV-202602001</t>
  </si>
  <si>
    <t>IV-20260200015</t>
  </si>
  <si>
    <t>รายได้จากการให้บริการ - P00010 - งวด 1-31 ม.ค.69 (ประกันสังคม) - โรงพยาบาลค่ายพิชัยดาบหัก - #IV-20260200015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</si>
</sst>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/>
    <font>
      <b/>
      <sz val="12.0"/>
      <color rgb="FF000000"/>
      <name val="Calibri"/>
    </font>
    <font>
      <sz val="12.0"/>
      <color theme="1"/>
      <name val="Calibri"/>
    </font>
    <font>
      <u/>
      <sz val="12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left"/>
    </xf>
    <xf borderId="4" fillId="2" fontId="1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0" fontId="4" numFmtId="0" xfId="0" applyAlignment="1" applyBorder="1" applyFont="1">
      <alignment horizontal="left"/>
    </xf>
    <xf borderId="5" fillId="0" fontId="4" numFmtId="39" xfId="0" applyAlignment="1" applyBorder="1" applyFont="1" applyNumberFormat="1">
      <alignment horizontal="right"/>
    </xf>
    <xf borderId="4" fillId="2" fontId="1" numFmtId="39" xfId="0" applyAlignment="1" applyBorder="1" applyFont="1" applyNumberFormat="1">
      <alignment horizontal="center"/>
    </xf>
    <xf borderId="4" fillId="0" fontId="4" numFmtId="3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cure.peakaccount.com/account/dailyJournalDetail?emi=MjQ4OTk5&amp;eii=NDAyMDkwMjEz" TargetMode="External"/><Relationship Id="rId2" Type="http://schemas.openxmlformats.org/officeDocument/2006/relationships/hyperlink" Target="https://secure.peakaccount.com/income/invoiceDetail?emi=MjQ4OTk5&amp;eii=ODgwMDcwMzI=" TargetMode="External"/><Relationship Id="rId3" Type="http://schemas.openxmlformats.org/officeDocument/2006/relationships/hyperlink" Target="https://secure.peakaccount.com/account/dailyJournalDetail?emi=MjQ4OTk5&amp;eii=NDAyMDkwMjA0" TargetMode="External"/><Relationship Id="rId4" Type="http://schemas.openxmlformats.org/officeDocument/2006/relationships/hyperlink" Target="https://secure.peakaccount.com/income/invoiceDetail?emi=MjQ4OTk5&amp;eii=ODgwMDcyNjk=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ecure.peakaccount.com/income/invoiceDetail?emi=MjQ4OTk5&amp;eii=ODgwMDc2MDg=" TargetMode="External"/><Relationship Id="rId9" Type="http://schemas.openxmlformats.org/officeDocument/2006/relationships/hyperlink" Target="https://secure.peakaccount.com/account/dailyJournalDetail?emi=MjQ4OTk5&amp;eii=NDAyMDkwMTYw" TargetMode="External"/><Relationship Id="rId5" Type="http://schemas.openxmlformats.org/officeDocument/2006/relationships/hyperlink" Target="https://secure.peakaccount.com/account/dailyJournalDetail?emi=MjQ4OTk5&amp;eii=NDAyMDkwMTg2" TargetMode="External"/><Relationship Id="rId6" Type="http://schemas.openxmlformats.org/officeDocument/2006/relationships/hyperlink" Target="https://secure.peakaccount.com/income/invoiceDetail?emi=MjQ4OTk5&amp;eii=ODgwMDczODU=" TargetMode="External"/><Relationship Id="rId7" Type="http://schemas.openxmlformats.org/officeDocument/2006/relationships/hyperlink" Target="https://secure.peakaccount.com/account/dailyJournalDetail?emi=MjQ4OTk5&amp;eii=NDAyMDkwMTc3" TargetMode="External"/><Relationship Id="rId8" Type="http://schemas.openxmlformats.org/officeDocument/2006/relationships/hyperlink" Target="https://secure.peakaccount.com/income/invoiceDetail?emi=MjQ4OTk5&amp;eii=ODgwMDc0Nzk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3" width="16.0"/>
    <col customWidth="1" min="4" max="4" width="21.0"/>
    <col customWidth="1" min="5" max="5" width="31.0"/>
    <col customWidth="1" min="6" max="6" width="41.0"/>
    <col customWidth="1" min="7" max="9" width="16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K1" s="4" t="s">
        <v>1</v>
      </c>
      <c r="L1" s="5" t="s">
        <v>2</v>
      </c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K2" s="4" t="s">
        <v>12</v>
      </c>
      <c r="L2" s="5" t="s">
        <v>13</v>
      </c>
    </row>
    <row r="3">
      <c r="A3" s="7">
        <v>1.0</v>
      </c>
      <c r="B3" s="8" t="s">
        <v>14</v>
      </c>
      <c r="C3" s="7" t="s">
        <v>15</v>
      </c>
      <c r="D3" s="8" t="s">
        <v>16</v>
      </c>
      <c r="E3" s="9" t="s">
        <v>17</v>
      </c>
      <c r="F3" s="9" t="s">
        <v>18</v>
      </c>
      <c r="G3" s="10">
        <v>0.0</v>
      </c>
      <c r="H3" s="10">
        <v>361121.5</v>
      </c>
      <c r="I3" s="10">
        <f t="shared" ref="I3:I4" si="2">H3-G3</f>
        <v>361121.5</v>
      </c>
      <c r="K3" s="4" t="s">
        <v>19</v>
      </c>
      <c r="L3" s="5" t="s">
        <v>20</v>
      </c>
    </row>
    <row r="4">
      <c r="F4" s="11" t="s">
        <v>21</v>
      </c>
      <c r="G4" s="12">
        <f t="shared" ref="G4:H4" si="1">SUM(G3)</f>
        <v>0</v>
      </c>
      <c r="H4" s="12">
        <f t="shared" si="1"/>
        <v>361121.5</v>
      </c>
      <c r="I4" s="12">
        <f t="shared" si="2"/>
        <v>361121.5</v>
      </c>
      <c r="K4" s="4" t="s">
        <v>22</v>
      </c>
      <c r="L4" s="5" t="s">
        <v>23</v>
      </c>
    </row>
    <row r="5">
      <c r="K5" s="4" t="s">
        <v>24</v>
      </c>
      <c r="L5" s="5" t="s">
        <v>25</v>
      </c>
    </row>
    <row r="6">
      <c r="A6" s="1" t="s">
        <v>26</v>
      </c>
      <c r="B6" s="2"/>
      <c r="C6" s="2"/>
      <c r="D6" s="2"/>
      <c r="E6" s="2"/>
      <c r="F6" s="2"/>
      <c r="G6" s="2"/>
      <c r="H6" s="2"/>
      <c r="I6" s="3"/>
      <c r="K6" s="4" t="s">
        <v>27</v>
      </c>
      <c r="L6" s="5" t="s">
        <v>28</v>
      </c>
    </row>
    <row r="7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</row>
    <row r="8">
      <c r="A8" s="7">
        <v>1.0</v>
      </c>
      <c r="B8" s="8" t="s">
        <v>29</v>
      </c>
      <c r="C8" s="7" t="s">
        <v>15</v>
      </c>
      <c r="D8" s="8" t="s">
        <v>30</v>
      </c>
      <c r="E8" s="9" t="s">
        <v>17</v>
      </c>
      <c r="F8" s="9" t="s">
        <v>31</v>
      </c>
      <c r="G8" s="10">
        <v>0.0</v>
      </c>
      <c r="H8" s="10">
        <v>173457.94</v>
      </c>
      <c r="I8" s="10">
        <f t="shared" ref="I8:I9" si="4">H8-G8</f>
        <v>173457.94</v>
      </c>
    </row>
    <row r="9">
      <c r="F9" s="11" t="s">
        <v>21</v>
      </c>
      <c r="G9" s="12">
        <f t="shared" ref="G9:H9" si="3">SUM(G8)</f>
        <v>0</v>
      </c>
      <c r="H9" s="12">
        <f t="shared" si="3"/>
        <v>173457.94</v>
      </c>
      <c r="I9" s="12">
        <f t="shared" si="4"/>
        <v>173457.94</v>
      </c>
    </row>
    <row r="11">
      <c r="A11" s="1" t="s">
        <v>32</v>
      </c>
      <c r="B11" s="2"/>
      <c r="C11" s="2"/>
      <c r="D11" s="2"/>
      <c r="E11" s="2"/>
      <c r="F11" s="2"/>
      <c r="G11" s="2"/>
      <c r="H11" s="2"/>
      <c r="I11" s="3"/>
    </row>
    <row r="1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9</v>
      </c>
      <c r="H12" s="6" t="s">
        <v>10</v>
      </c>
      <c r="I12" s="6" t="s">
        <v>11</v>
      </c>
    </row>
    <row r="13">
      <c r="A13" s="7">
        <v>1.0</v>
      </c>
      <c r="B13" s="8" t="s">
        <v>33</v>
      </c>
      <c r="C13" s="7" t="s">
        <v>15</v>
      </c>
      <c r="D13" s="8" t="s">
        <v>34</v>
      </c>
      <c r="E13" s="9" t="s">
        <v>17</v>
      </c>
      <c r="F13" s="9" t="s">
        <v>35</v>
      </c>
      <c r="G13" s="10">
        <v>0.0</v>
      </c>
      <c r="H13" s="10">
        <v>20934.58</v>
      </c>
      <c r="I13" s="10">
        <f t="shared" ref="I13:I14" si="6">H13-G13</f>
        <v>20934.58</v>
      </c>
    </row>
    <row r="14">
      <c r="F14" s="11" t="s">
        <v>21</v>
      </c>
      <c r="G14" s="12">
        <f t="shared" ref="G14:H14" si="5">SUM(G13)</f>
        <v>0</v>
      </c>
      <c r="H14" s="12">
        <f t="shared" si="5"/>
        <v>20934.58</v>
      </c>
      <c r="I14" s="12">
        <f t="shared" si="6"/>
        <v>20934.58</v>
      </c>
    </row>
    <row r="16">
      <c r="A16" s="1" t="s">
        <v>36</v>
      </c>
      <c r="B16" s="2"/>
      <c r="C16" s="2"/>
      <c r="D16" s="2"/>
      <c r="E16" s="2"/>
      <c r="F16" s="2"/>
      <c r="G16" s="2"/>
      <c r="H16" s="2"/>
      <c r="I16" s="3"/>
    </row>
    <row r="17">
      <c r="A17" s="6" t="s">
        <v>3</v>
      </c>
      <c r="B17" s="6" t="s">
        <v>4</v>
      </c>
      <c r="C17" s="6" t="s">
        <v>5</v>
      </c>
      <c r="D17" s="6" t="s">
        <v>6</v>
      </c>
      <c r="E17" s="6" t="s">
        <v>7</v>
      </c>
      <c r="F17" s="6" t="s">
        <v>8</v>
      </c>
      <c r="G17" s="6" t="s">
        <v>9</v>
      </c>
      <c r="H17" s="6" t="s">
        <v>10</v>
      </c>
      <c r="I17" s="6" t="s">
        <v>11</v>
      </c>
    </row>
    <row r="18">
      <c r="A18" s="7">
        <v>1.0</v>
      </c>
      <c r="B18" s="8" t="s">
        <v>37</v>
      </c>
      <c r="C18" s="7" t="s">
        <v>15</v>
      </c>
      <c r="D18" s="8" t="s">
        <v>38</v>
      </c>
      <c r="E18" s="9" t="s">
        <v>17</v>
      </c>
      <c r="F18" s="9" t="s">
        <v>39</v>
      </c>
      <c r="G18" s="10">
        <v>0.0</v>
      </c>
      <c r="H18" s="10">
        <v>34392.52</v>
      </c>
      <c r="I18" s="10">
        <f t="shared" ref="I18:I19" si="8">H18-G18</f>
        <v>34392.52</v>
      </c>
    </row>
    <row r="19">
      <c r="F19" s="11" t="s">
        <v>21</v>
      </c>
      <c r="G19" s="12">
        <f t="shared" ref="G19:H19" si="7">SUM(G18)</f>
        <v>0</v>
      </c>
      <c r="H19" s="12">
        <f t="shared" si="7"/>
        <v>34392.52</v>
      </c>
      <c r="I19" s="12">
        <f t="shared" si="8"/>
        <v>34392.52</v>
      </c>
    </row>
    <row r="21" ht="15.75" customHeight="1">
      <c r="A21" s="1" t="s">
        <v>40</v>
      </c>
      <c r="B21" s="2"/>
      <c r="C21" s="2"/>
      <c r="D21" s="2"/>
      <c r="E21" s="2"/>
      <c r="F21" s="2"/>
      <c r="G21" s="2"/>
      <c r="H21" s="2"/>
      <c r="I21" s="3"/>
    </row>
    <row r="22" ht="15.75" customHeight="1">
      <c r="A22" s="6" t="s">
        <v>3</v>
      </c>
      <c r="B22" s="6" t="s">
        <v>4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11</v>
      </c>
    </row>
    <row r="23" ht="15.75" customHeight="1">
      <c r="A23" s="7">
        <v>1.0</v>
      </c>
      <c r="B23" s="8" t="s">
        <v>41</v>
      </c>
      <c r="C23" s="7" t="s">
        <v>15</v>
      </c>
      <c r="D23" s="8" t="s">
        <v>42</v>
      </c>
      <c r="E23" s="9" t="s">
        <v>17</v>
      </c>
      <c r="F23" s="9" t="s">
        <v>43</v>
      </c>
      <c r="G23" s="10">
        <v>0.0</v>
      </c>
      <c r="H23" s="10">
        <v>108785.05</v>
      </c>
      <c r="I23" s="10">
        <f t="shared" ref="I23:I24" si="10">H23-G23</f>
        <v>108785.05</v>
      </c>
    </row>
    <row r="24" ht="15.75" customHeight="1">
      <c r="F24" s="11" t="s">
        <v>21</v>
      </c>
      <c r="G24" s="12">
        <f t="shared" ref="G24:H24" si="9">SUM(G23)</f>
        <v>0</v>
      </c>
      <c r="H24" s="12">
        <f t="shared" si="9"/>
        <v>108785.05</v>
      </c>
      <c r="I24" s="12">
        <f t="shared" si="10"/>
        <v>108785.05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6:I6"/>
    <mergeCell ref="A11:I11"/>
    <mergeCell ref="A16:I16"/>
    <mergeCell ref="A21:I21"/>
  </mergeCells>
  <hyperlinks>
    <hyperlink r:id="rId1" ref="B3"/>
    <hyperlink r:id="rId2" ref="D3"/>
    <hyperlink r:id="rId3" ref="B8"/>
    <hyperlink r:id="rId4" ref="D8"/>
    <hyperlink r:id="rId5" ref="B13"/>
    <hyperlink r:id="rId6" ref="D13"/>
    <hyperlink r:id="rId7" ref="B18"/>
    <hyperlink r:id="rId8" ref="D18"/>
    <hyperlink r:id="rId9" ref="B23"/>
    <hyperlink r:id="rId10" ref="D23"/>
  </hyperlinks>
  <printOptions/>
  <pageMargins bottom="0.75" footer="0.0" header="0.0" left="0.7" right="0.7" top="0.75"/>
  <pageSetup orientation="landscape"/>
  <drawing r:id="rId11"/>
</worksheet>
</file>